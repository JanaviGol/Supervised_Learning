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lankathiriya/Downloads/"/>
    </mc:Choice>
  </mc:AlternateContent>
  <xr:revisionPtr revIDLastSave="0" documentId="13_ncr:1_{D49F21DF-207D-0B49-9466-32E90279C486}" xr6:coauthVersionLast="47" xr6:coauthVersionMax="47" xr10:uidLastSave="{00000000-0000-0000-0000-000000000000}"/>
  <bookViews>
    <workbookView xWindow="0" yWindow="660" windowWidth="30240" windowHeight="17300" tabRatio="500" activeTab="2" xr2:uid="{00000000-000D-0000-FFFF-FFFF00000000}"/>
  </bookViews>
  <sheets>
    <sheet name="Theory" sheetId="1" r:id="rId1"/>
    <sheet name="Sheet1" sheetId="2" r:id="rId2"/>
    <sheet name="Pizza Price Prediction" sheetId="3" r:id="rId3"/>
    <sheet name="Lemonade Sold Prediction" sheetId="4" r:id="rId4"/>
    <sheet name="House Price Predic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3" l="1" a="1"/>
  <c r="F23" i="3" s="1"/>
  <c r="F22" i="3" a="1"/>
  <c r="F22" i="3" s="1"/>
  <c r="F21" i="3" a="1"/>
  <c r="F21" i="3" s="1"/>
  <c r="F4" i="5"/>
  <c r="H6" i="5" s="1"/>
  <c r="E4" i="5"/>
  <c r="G6" i="5" s="1"/>
  <c r="H7" i="4"/>
  <c r="G7" i="4"/>
  <c r="K7" i="4" s="1"/>
  <c r="H4" i="4"/>
  <c r="F4" i="4"/>
  <c r="H5" i="4" s="1"/>
  <c r="E4" i="4"/>
  <c r="G4" i="4" s="1"/>
  <c r="F17" i="3"/>
  <c r="F16" i="3"/>
  <c r="K6" i="3"/>
  <c r="G6" i="3"/>
  <c r="G5" i="3"/>
  <c r="K5" i="3" s="1"/>
  <c r="F4" i="3"/>
  <c r="H7" i="3" s="1"/>
  <c r="E4" i="3"/>
  <c r="G7" i="3" s="1"/>
  <c r="I4" i="4" l="1"/>
  <c r="K4" i="4"/>
  <c r="K7" i="3"/>
  <c r="I7" i="3"/>
  <c r="I6" i="3"/>
  <c r="I6" i="5"/>
  <c r="K6" i="5"/>
  <c r="I7" i="4"/>
  <c r="G5" i="5"/>
  <c r="H6" i="3"/>
  <c r="G6" i="4"/>
  <c r="G4" i="5"/>
  <c r="H5" i="5"/>
  <c r="H6" i="4"/>
  <c r="H4" i="5"/>
  <c r="G7" i="5"/>
  <c r="G4" i="3"/>
  <c r="H5" i="3"/>
  <c r="H7" i="5"/>
  <c r="H4" i="3"/>
  <c r="I5" i="3"/>
  <c r="G5" i="4"/>
  <c r="K4" i="5" l="1"/>
  <c r="I4" i="5"/>
  <c r="K5" i="4"/>
  <c r="L4" i="4" s="1"/>
  <c r="I5" i="4"/>
  <c r="K6" i="4"/>
  <c r="I6" i="4"/>
  <c r="K4" i="3"/>
  <c r="L4" i="3" s="1"/>
  <c r="I4" i="3"/>
  <c r="J4" i="3" s="1"/>
  <c r="K7" i="5"/>
  <c r="I7" i="5"/>
  <c r="K5" i="5"/>
  <c r="I5" i="5"/>
  <c r="J4" i="4"/>
  <c r="F12" i="4" l="1"/>
  <c r="J4" i="5"/>
  <c r="F12" i="3"/>
  <c r="L4" i="5"/>
  <c r="F13" i="3" l="1"/>
  <c r="C6" i="3" s="1"/>
  <c r="F12" i="5"/>
  <c r="F13" i="4"/>
  <c r="C7" i="4" s="1"/>
  <c r="C11" i="4"/>
  <c r="C3" i="4"/>
  <c r="C6" i="4"/>
  <c r="C8" i="4" l="1"/>
  <c r="C4" i="4"/>
  <c r="C5" i="3"/>
  <c r="F19" i="4"/>
  <c r="F18" i="4"/>
  <c r="F17" i="4"/>
  <c r="C5" i="5"/>
  <c r="C4" i="5"/>
  <c r="C8" i="5"/>
  <c r="C3" i="5"/>
  <c r="C6" i="5"/>
  <c r="C7" i="5"/>
  <c r="C10" i="5"/>
  <c r="F13" i="5"/>
  <c r="C9" i="5" s="1"/>
  <c r="C5" i="4"/>
  <c r="C9" i="4"/>
  <c r="C4" i="3"/>
  <c r="C10" i="4"/>
  <c r="F21" i="4" s="1"/>
  <c r="C7" i="3"/>
  <c r="F21" i="5" l="1"/>
  <c r="F20" i="5"/>
  <c r="F19" i="5"/>
  <c r="F18" i="5"/>
  <c r="F17" i="5"/>
  <c r="F20" i="4"/>
  <c r="F24" i="3"/>
  <c r="F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<sst xmlns="http://schemas.openxmlformats.org/spreadsheetml/2006/main" count="134" uniqueCount="75">
  <si>
    <t>Linear Regression is a machine learning algorithm used to find relationships between two variables and make predictions. 
It fits a straight line 📏 through the given data points to show the trend.</t>
  </si>
  <si>
    <t>Y = mX + c</t>
  </si>
  <si>
    <t>Where:</t>
  </si>
  <si>
    <t>Y = What we want to predict (dependent variable)</t>
  </si>
  <si>
    <t>X = Known value (independent variable)</t>
  </si>
  <si>
    <t>m = Slope (Rate of change)</t>
  </si>
  <si>
    <t>c = Intercept (where the line starts ⇒ Starting value when X = 0)</t>
  </si>
  <si>
    <t>Calculating Slope (m) and Intercept (c)</t>
  </si>
  <si>
    <t>Manually</t>
  </si>
  <si>
    <t>Slope (m) = Sum of Product of Deviations / Sum of Square of deviation for X</t>
  </si>
  <si>
    <t>Intercept (c) = Mean of Y - (m * Mean of X)</t>
  </si>
  <si>
    <t>By Formula</t>
  </si>
  <si>
    <t>m = SLOPE(Ys, Xs)</t>
  </si>
  <si>
    <t>c = INTERCEPT(Ys, Xs)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</si>
  <si>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</si>
  <si>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</si>
  <si>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</si>
  <si>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</si>
  <si>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</si>
  <si>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</si>
  <si>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</si>
  <si>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</si>
  <si>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</si>
  <si>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</si>
  <si>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</si>
  <si>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</si>
  <si>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</si>
  <si>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</si>
  <si>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</si>
  <si>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</si>
  <si>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</si>
  <si>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</si>
  <si>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</si>
  <si>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</si>
  <si>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</si>
  <si>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</si>
  <si>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</si>
  <si>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</si>
  <si>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</si>
  <si>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🍕</t>
  </si>
  <si>
    <t>💵</t>
  </si>
  <si>
    <t>X</t>
  </si>
  <si>
    <t>Y</t>
  </si>
  <si>
    <t>Calculation for Slope &amp; Intercept</t>
  </si>
  <si>
    <t>Pizza Size (inch)</t>
  </si>
  <si>
    <t>Price</t>
  </si>
  <si>
    <t>Estimated Price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</si>
  <si>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</si>
  <si>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</si>
  <si>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</si>
  <si>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</si>
  <si>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</si>
  <si>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</si>
  <si>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</si>
  <si>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</si>
  <si>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t>Slope (m) =</t>
  </si>
  <si>
    <t>Intercept (c) =</t>
  </si>
  <si>
    <t>MAE (Mean Absolute Error)</t>
  </si>
  <si>
    <t>Lower is better. Average absolute difference between actual &amp; predicted values.</t>
  </si>
  <si>
    <t>MSE (Mean Squared Error)</t>
  </si>
  <si>
    <t>Lower is better. Penalises large errors more heavily (squared differences).</t>
  </si>
  <si>
    <t>RMSE (Root Mean Squared Error)</t>
  </si>
  <si>
    <t>Lower is better. Same unit as Y; interpretable error magnitude.</t>
  </si>
  <si>
    <t>R² (Coefficient of Determination)</t>
  </si>
  <si>
    <t>Closer to 1 is better. % of variance in Y explained by the model.</t>
  </si>
  <si>
    <t>Adjusted R²</t>
  </si>
  <si>
    <t>Adjusted for number of predictors. Penalises unnecessary complexity.</t>
  </si>
  <si>
    <t>🌡️</t>
  </si>
  <si>
    <t>🍋</t>
  </si>
  <si>
    <t>Temperature (°C)</t>
  </si>
  <si>
    <t>Lemonade Sold</t>
  </si>
  <si>
    <t>Estimated Lemonade Sold</t>
  </si>
  <si>
    <t>🏠</t>
  </si>
  <si>
    <t>House Size (sq. ft.)</t>
  </si>
  <si>
    <t>Regression Evaluation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</si>
</sst>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 &quot;#,##0.00"/>
    <numFmt numFmtId="165" formatCode="0.0000"/>
    <numFmt numFmtId="166" formatCode="&quot;₹ &quot;#,##0.0"/>
  </numFmts>
  <fonts count="14" x14ac:knownFonts="1"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20"/>
      <name val="Courier New"/>
      <family val="3"/>
      <charset val="1"/>
    </font>
    <font>
      <sz val="11"/>
      <color rgb="FF864D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sz val="22"/>
      <color theme="1"/>
      <name val="Aptos Narrow"/>
      <family val="2"/>
      <charset val="1"/>
    </font>
    <font>
      <b/>
      <sz val="14"/>
      <color theme="5" tint="-0.249977111117893"/>
      <name val="Aptos Narrow"/>
      <family val="2"/>
      <charset val="1"/>
    </font>
    <font>
      <b/>
      <sz val="11"/>
      <name val="Cambria"/>
      <family val="1"/>
    </font>
    <font>
      <b/>
      <sz val="11"/>
      <color theme="1"/>
      <name val="Aptos Narrow"/>
      <scheme val="minor"/>
    </font>
    <font>
      <b/>
      <sz val="10"/>
      <name val="Aptos Narrow"/>
    </font>
    <font>
      <sz val="10"/>
      <name val="Aptos Narrow"/>
    </font>
    <font>
      <i/>
      <sz val="9"/>
      <color rgb="FF595959"/>
      <name val="Aptos Narrow"/>
    </font>
    <font>
      <b/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BDD7EE"/>
      </patternFill>
    </fill>
    <fill>
      <patternFill patternType="solid">
        <fgColor theme="9" tint="0.79989013336588644"/>
        <bgColor rgb="FFD6E4F0"/>
      </patternFill>
    </fill>
    <fill>
      <patternFill patternType="solid">
        <fgColor theme="4" tint="0.79998168889431442"/>
        <bgColor rgb="FF00336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inden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0" fillId="0" borderId="6" xfId="0" applyBorder="1"/>
    <xf numFmtId="0" fontId="4" fillId="4" borderId="0" xfId="0" applyFont="1" applyFill="1"/>
    <xf numFmtId="0" fontId="4" fillId="4" borderId="6" xfId="0" applyFont="1" applyFill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4" fontId="11" fillId="0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 wrapText="1"/>
    </xf>
    <xf numFmtId="4" fontId="11" fillId="0" borderId="10" xfId="0" applyNumberFormat="1" applyFont="1" applyFill="1" applyBorder="1" applyAlignment="1">
      <alignment horizontal="center" vertical="center"/>
    </xf>
    <xf numFmtId="165" fontId="11" fillId="0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1E5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F2D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C04F15"/>
      <rgbColor rgb="FF595959"/>
      <rgbColor rgb="FF969696"/>
      <rgbColor rgb="FF003366"/>
      <rgbColor rgb="FF339966"/>
      <rgbColor rgb="FF003300"/>
      <rgbColor rgb="FF333300"/>
      <rgbColor rgb="FF864D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zoomScale="175" zoomScaleNormal="175" workbookViewId="0">
      <selection activeCell="A3" sqref="A3"/>
    </sheetView>
  </sheetViews>
  <sheetFormatPr baseColWidth="10" defaultColWidth="9.1640625" defaultRowHeight="15" x14ac:dyDescent="0.2"/>
  <cols>
    <col min="1" max="1" width="10.83203125" style="9" customWidth="1"/>
    <col min="2" max="2" width="68" style="9" customWidth="1"/>
    <col min="3" max="16384" width="9.1640625" style="9"/>
  </cols>
  <sheetData>
    <row r="2" spans="1:2" ht="80.25" customHeight="1" x14ac:dyDescent="0.2">
      <c r="B2" s="10" t="s">
        <v>0</v>
      </c>
    </row>
    <row r="3" spans="1:2" ht="37.5" customHeight="1" x14ac:dyDescent="0.2"/>
    <row r="4" spans="1:2" ht="27" customHeight="1" x14ac:dyDescent="0.2">
      <c r="B4" s="11" t="s">
        <v>1</v>
      </c>
    </row>
    <row r="5" spans="1:2" x14ac:dyDescent="0.2">
      <c r="B5" s="12"/>
    </row>
    <row r="6" spans="1:2" x14ac:dyDescent="0.2">
      <c r="B6" s="13" t="s">
        <v>2</v>
      </c>
    </row>
    <row r="7" spans="1:2" x14ac:dyDescent="0.2">
      <c r="B7" s="14"/>
    </row>
    <row r="8" spans="1:2" x14ac:dyDescent="0.2">
      <c r="B8" s="15" t="s">
        <v>3</v>
      </c>
    </row>
    <row r="9" spans="1:2" x14ac:dyDescent="0.2">
      <c r="B9" s="15" t="s">
        <v>4</v>
      </c>
    </row>
    <row r="10" spans="1:2" x14ac:dyDescent="0.2">
      <c r="B10" s="15" t="s">
        <v>5</v>
      </c>
    </row>
    <row r="11" spans="1:2" ht="15.75" customHeight="1" x14ac:dyDescent="0.2">
      <c r="B11" s="16" t="s">
        <v>6</v>
      </c>
    </row>
    <row r="12" spans="1:2" x14ac:dyDescent="0.2">
      <c r="B12" s="17"/>
    </row>
    <row r="13" spans="1:2" x14ac:dyDescent="0.2">
      <c r="B13" s="17"/>
    </row>
    <row r="15" spans="1:2" x14ac:dyDescent="0.2">
      <c r="A15" s="8" t="s">
        <v>7</v>
      </c>
      <c r="B15" s="8"/>
    </row>
    <row r="16" spans="1:2" x14ac:dyDescent="0.2">
      <c r="A16" s="8" t="s">
        <v>8</v>
      </c>
      <c r="B16" s="18" t="s">
        <v>9</v>
      </c>
    </row>
    <row r="17" spans="1:2" x14ac:dyDescent="0.2">
      <c r="A17" s="8"/>
      <c r="B17" s="18" t="s">
        <v>10</v>
      </c>
    </row>
    <row r="18" spans="1:2" x14ac:dyDescent="0.2">
      <c r="A18" s="19"/>
      <c r="B18" s="18"/>
    </row>
    <row r="19" spans="1:2" x14ac:dyDescent="0.2">
      <c r="A19" s="8" t="s">
        <v>11</v>
      </c>
      <c r="B19" s="18" t="s">
        <v>12</v>
      </c>
    </row>
    <row r="20" spans="1:2" x14ac:dyDescent="0.2">
      <c r="A20" s="8"/>
      <c r="B20" s="18" t="s">
        <v>13</v>
      </c>
    </row>
    <row r="21" spans="1:2" x14ac:dyDescent="0.2">
      <c r="B21" s="20"/>
    </row>
    <row r="22" spans="1:2" x14ac:dyDescent="0.2">
      <c r="B22" s="20"/>
    </row>
  </sheetData>
  <mergeCells count="3">
    <mergeCell ref="A15:B15"/>
    <mergeCell ref="A16:A17"/>
    <mergeCell ref="A19:A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zoomScale="150" zoomScaleNormal="150" workbookViewId="0">
      <selection activeCell="B22" sqref="B22"/>
    </sheetView>
  </sheetViews>
  <sheetFormatPr baseColWidth="10" defaultColWidth="8.83203125" defaultRowHeight="15" x14ac:dyDescent="0.2"/>
  <cols>
    <col min="1" max="1" width="17.5" customWidth="1"/>
    <col min="2" max="2" width="13.1640625" customWidth="1"/>
    <col min="3" max="3" width="14.6640625" customWidth="1"/>
    <col min="4" max="4" width="13.1640625" customWidth="1"/>
    <col min="5" max="5" width="12.5" customWidth="1"/>
    <col min="6" max="6" width="13.6640625" customWidth="1"/>
    <col min="7" max="9" width="13.1640625" customWidth="1"/>
  </cols>
  <sheetData>
    <row r="1" spans="1:9" x14ac:dyDescent="0.2">
      <c r="A1" t="s">
        <v>14</v>
      </c>
    </row>
    <row r="2" spans="1:9" ht="15.75" customHeight="1" x14ac:dyDescent="0.2"/>
    <row r="3" spans="1:9" x14ac:dyDescent="0.2">
      <c r="A3" s="7" t="s">
        <v>15</v>
      </c>
      <c r="B3" s="7"/>
    </row>
    <row r="4" spans="1:9" x14ac:dyDescent="0.2">
      <c r="A4" t="s">
        <v>16</v>
      </c>
      <c r="B4">
        <v>0.986154197219972</v>
      </c>
    </row>
    <row r="5" spans="1:9" x14ac:dyDescent="0.2">
      <c r="A5" t="s">
        <v>17</v>
      </c>
      <c r="B5">
        <v>0.97250010069456705</v>
      </c>
    </row>
    <row r="6" spans="1:9" x14ac:dyDescent="0.2">
      <c r="A6" t="s">
        <v>18</v>
      </c>
      <c r="B6">
        <v>0.95875015104185102</v>
      </c>
    </row>
    <row r="7" spans="1:9" x14ac:dyDescent="0.2">
      <c r="A7" t="s">
        <v>19</v>
      </c>
      <c r="B7">
        <v>81.241822018341097</v>
      </c>
    </row>
    <row r="8" spans="1:9" ht="15.75" customHeight="1" x14ac:dyDescent="0.2">
      <c r="A8" s="22" t="s">
        <v>20</v>
      </c>
      <c r="B8" s="22">
        <v>4</v>
      </c>
    </row>
    <row r="10" spans="1:9" ht="15.75" customHeight="1" x14ac:dyDescent="0.2">
      <c r="A10" t="s">
        <v>21</v>
      </c>
    </row>
    <row r="11" spans="1:9" x14ac:dyDescent="0.2">
      <c r="A11" s="21"/>
      <c r="B11" s="21" t="s">
        <v>22</v>
      </c>
      <c r="C11" s="21" t="s">
        <v>23</v>
      </c>
      <c r="D11" s="21" t="s">
        <v>24</v>
      </c>
      <c r="E11" s="21" t="s">
        <v>25</v>
      </c>
      <c r="F11" s="21" t="s">
        <v>26</v>
      </c>
    </row>
    <row r="12" spans="1:9" x14ac:dyDescent="0.2">
      <c r="A12" t="s">
        <v>27</v>
      </c>
      <c r="B12">
        <v>1</v>
      </c>
      <c r="C12">
        <v>466818.28271027998</v>
      </c>
      <c r="D12">
        <v>466818.28271027998</v>
      </c>
      <c r="E12">
        <v>70.727539027930206</v>
      </c>
      <c r="F12">
        <v>1.3845802780028E-2</v>
      </c>
    </row>
    <row r="13" spans="1:9" x14ac:dyDescent="0.2">
      <c r="A13" t="s">
        <v>28</v>
      </c>
      <c r="B13">
        <v>2</v>
      </c>
      <c r="C13">
        <v>13200.4672897196</v>
      </c>
      <c r="D13">
        <v>6600.2336448598098</v>
      </c>
    </row>
    <row r="14" spans="1:9" ht="15.75" customHeight="1" x14ac:dyDescent="0.2">
      <c r="A14" s="22" t="s">
        <v>29</v>
      </c>
      <c r="B14" s="22">
        <v>3</v>
      </c>
      <c r="C14" s="22">
        <v>480018.75</v>
      </c>
      <c r="D14" s="22"/>
      <c r="E14" s="22"/>
      <c r="F14" s="22"/>
    </row>
    <row r="15" spans="1:9" ht="15.75" customHeight="1" x14ac:dyDescent="0.2"/>
    <row r="16" spans="1:9" x14ac:dyDescent="0.2">
      <c r="A16" s="21"/>
      <c r="B16" s="21" t="s">
        <v>30</v>
      </c>
      <c r="C16" s="21" t="s">
        <v>19</v>
      </c>
      <c r="D16" s="21" t="s">
        <v>31</v>
      </c>
      <c r="E16" s="21" t="s">
        <v>32</v>
      </c>
      <c r="F16" s="21" t="s">
        <v>33</v>
      </c>
      <c r="G16" s="21" t="s">
        <v>34</v>
      </c>
      <c r="H16" s="21" t="s">
        <v>35</v>
      </c>
      <c r="I16" s="21" t="s">
        <v>36</v>
      </c>
    </row>
    <row r="17" spans="1:9" x14ac:dyDescent="0.2">
      <c r="A17" t="s">
        <v>37</v>
      </c>
      <c r="B17" s="23">
        <v>-834.90654205607495</v>
      </c>
      <c r="C17">
        <v>181.32236313021099</v>
      </c>
      <c r="D17">
        <v>-4.6045425817471397</v>
      </c>
      <c r="E17">
        <v>4.4071217392959203E-2</v>
      </c>
      <c r="F17">
        <v>-1615.0737027429</v>
      </c>
      <c r="G17">
        <v>-54.739381369248903</v>
      </c>
      <c r="H17">
        <v>-1615.0737027429</v>
      </c>
      <c r="I17">
        <v>-54.739381369248903</v>
      </c>
    </row>
    <row r="18" spans="1:9" ht="15.75" customHeight="1" x14ac:dyDescent="0.2">
      <c r="A18" s="22" t="s">
        <v>38</v>
      </c>
      <c r="B18" s="24">
        <v>132.10280373831799</v>
      </c>
      <c r="C18" s="22">
        <v>15.7078867563368</v>
      </c>
      <c r="D18" s="22">
        <v>8.4099666484433904</v>
      </c>
      <c r="E18" s="22">
        <v>1.3845802780028E-2</v>
      </c>
      <c r="F18" s="22">
        <v>64.517221907570004</v>
      </c>
      <c r="G18" s="22">
        <v>199.68838556906601</v>
      </c>
      <c r="H18" s="22">
        <v>64.517221907570004</v>
      </c>
      <c r="I18" s="22">
        <v>199.68838556906601</v>
      </c>
    </row>
  </sheetData>
  <mergeCells count="1">
    <mergeCell ref="A3:B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tabSelected="1" zoomScale="145" zoomScaleNormal="145" workbookViewId="0">
      <selection activeCell="F27" sqref="F27"/>
    </sheetView>
  </sheetViews>
  <sheetFormatPr baseColWidth="10" defaultColWidth="9.1640625" defaultRowHeight="15" x14ac:dyDescent="0.2"/>
  <cols>
    <col min="1" max="1" width="15.5" style="9" customWidth="1"/>
    <col min="2" max="2" width="12.1640625" style="9" customWidth="1"/>
    <col min="3" max="3" width="13.6640625" style="9" customWidth="1"/>
    <col min="4" max="4" width="9.1640625" style="9"/>
    <col min="5" max="5" width="32" style="9" customWidth="1"/>
    <col min="6" max="6" width="18" style="9" customWidth="1"/>
    <col min="7" max="7" width="13.6640625" style="9" bestFit="1" customWidth="1"/>
    <col min="8" max="8" width="11.5" style="9" customWidth="1"/>
    <col min="9" max="9" width="13.5" style="9" customWidth="1"/>
    <col min="10" max="10" width="18" style="9" customWidth="1"/>
    <col min="11" max="11" width="18.5" style="9" customWidth="1"/>
    <col min="12" max="12" width="15.33203125" style="9" customWidth="1"/>
    <col min="13" max="13" width="13" style="9" customWidth="1"/>
    <col min="14" max="14" width="12.5" style="9" customWidth="1"/>
    <col min="15" max="15" width="12" style="9" customWidth="1"/>
    <col min="16" max="16" width="12.6640625" style="9" customWidth="1"/>
    <col min="17" max="19" width="12.5" style="9" customWidth="1"/>
    <col min="20" max="16384" width="9.1640625" style="9"/>
  </cols>
  <sheetData>
    <row r="1" spans="1:12" ht="42" customHeight="1" x14ac:dyDescent="0.2">
      <c r="A1" s="25" t="s">
        <v>39</v>
      </c>
      <c r="B1" s="25" t="s">
        <v>40</v>
      </c>
      <c r="C1" s="26" t="s">
        <v>1</v>
      </c>
      <c r="E1" s="6"/>
      <c r="F1" s="6"/>
      <c r="G1" s="6"/>
      <c r="H1" s="6"/>
      <c r="I1" s="6"/>
      <c r="J1" s="6"/>
      <c r="K1" s="6"/>
      <c r="L1" s="6"/>
    </row>
    <row r="2" spans="1:12" ht="15.75" customHeight="1" x14ac:dyDescent="0.2">
      <c r="A2" s="27" t="s">
        <v>41</v>
      </c>
      <c r="B2" s="27" t="s">
        <v>42</v>
      </c>
      <c r="C2" s="28"/>
      <c r="E2" s="5" t="s">
        <v>43</v>
      </c>
      <c r="F2" s="5"/>
      <c r="G2" s="5"/>
      <c r="H2" s="5"/>
      <c r="I2" s="5"/>
      <c r="J2" s="5"/>
      <c r="K2" s="5"/>
      <c r="L2" s="5"/>
    </row>
    <row r="3" spans="1:12" s="30" customFormat="1" ht="31.5" customHeight="1" x14ac:dyDescent="0.15">
      <c r="A3" s="27" t="s">
        <v>44</v>
      </c>
      <c r="B3" s="27" t="s">
        <v>45</v>
      </c>
      <c r="C3" s="29" t="s">
        <v>46</v>
      </c>
      <c r="E3" s="27" t="s">
        <v>47</v>
      </c>
      <c r="F3" s="27" t="s">
        <v>48</v>
      </c>
      <c r="G3" s="27" t="s">
        <v>49</v>
      </c>
      <c r="H3" s="27" t="s">
        <v>50</v>
      </c>
      <c r="I3" s="27" t="s">
        <v>51</v>
      </c>
      <c r="J3" s="27" t="s">
        <v>52</v>
      </c>
      <c r="K3" s="27" t="s">
        <v>53</v>
      </c>
      <c r="L3" s="27" t="s">
        <v>54</v>
      </c>
    </row>
    <row r="4" spans="1:12" x14ac:dyDescent="0.2">
      <c r="A4" s="31">
        <v>8</v>
      </c>
      <c r="B4" s="32">
        <v>280</v>
      </c>
      <c r="C4" s="33">
        <f>$F$12*A4+$F$13</f>
        <v>221.91588785046724</v>
      </c>
      <c r="E4" s="4">
        <f>AVERAGE(A4:A7)</f>
        <v>11.25</v>
      </c>
      <c r="F4" s="3">
        <f>AVERAGE(B4:B7)</f>
        <v>651.25</v>
      </c>
      <c r="G4" s="28">
        <f>$A4-$E$4</f>
        <v>-3.25</v>
      </c>
      <c r="H4" s="34">
        <f>$B4-$F$4</f>
        <v>-371.25</v>
      </c>
      <c r="I4" s="34">
        <f>G4*H4</f>
        <v>1206.5625</v>
      </c>
      <c r="J4" s="3">
        <f>SUM(I4:I7)</f>
        <v>3533.75</v>
      </c>
      <c r="K4" s="28">
        <f>G4*G4</f>
        <v>10.5625</v>
      </c>
      <c r="L4" s="4">
        <f>SUM(K4:K7)</f>
        <v>26.75</v>
      </c>
    </row>
    <row r="5" spans="1:12" x14ac:dyDescent="0.2">
      <c r="A5" s="31">
        <v>10</v>
      </c>
      <c r="B5" s="32">
        <v>450</v>
      </c>
      <c r="C5" s="33">
        <f>$F$12*A5+$F$13</f>
        <v>486.12149532710282</v>
      </c>
      <c r="E5" s="4"/>
      <c r="F5" s="4"/>
      <c r="G5" s="28">
        <f>$A5-$E$4</f>
        <v>-1.25</v>
      </c>
      <c r="H5" s="34">
        <f>$B5-$F$4</f>
        <v>-201.25</v>
      </c>
      <c r="I5" s="34">
        <f>G5*H5</f>
        <v>251.5625</v>
      </c>
      <c r="J5" s="3"/>
      <c r="K5" s="28">
        <f>G5*G5</f>
        <v>1.5625</v>
      </c>
      <c r="L5" s="4"/>
    </row>
    <row r="6" spans="1:12" x14ac:dyDescent="0.2">
      <c r="A6" s="31">
        <v>12</v>
      </c>
      <c r="B6" s="32">
        <v>675</v>
      </c>
      <c r="C6" s="33">
        <f>$F$12*A6+$F$13</f>
        <v>750.32710280373817</v>
      </c>
      <c r="E6" s="4"/>
      <c r="F6" s="4"/>
      <c r="G6" s="28">
        <f>$A6-$E$4</f>
        <v>0.75</v>
      </c>
      <c r="H6" s="34">
        <f>$B6-$F$4</f>
        <v>23.75</v>
      </c>
      <c r="I6" s="34">
        <f>G6*H6</f>
        <v>17.8125</v>
      </c>
      <c r="J6" s="3"/>
      <c r="K6" s="28">
        <f>G6*G6</f>
        <v>0.5625</v>
      </c>
      <c r="L6" s="4"/>
    </row>
    <row r="7" spans="1:12" x14ac:dyDescent="0.2">
      <c r="A7" s="31">
        <v>15</v>
      </c>
      <c r="B7" s="32">
        <v>1200</v>
      </c>
      <c r="C7" s="33">
        <f>$F$12*A7+$F$13</f>
        <v>1146.6355140186915</v>
      </c>
      <c r="E7" s="4"/>
      <c r="F7" s="4"/>
      <c r="G7" s="28">
        <f>$A7-$E$4</f>
        <v>3.75</v>
      </c>
      <c r="H7" s="34">
        <f>$B7-$F$4</f>
        <v>548.75</v>
      </c>
      <c r="I7" s="34">
        <f>G7*H7</f>
        <v>2057.8125</v>
      </c>
      <c r="J7" s="3"/>
      <c r="K7" s="28">
        <f>G7*G7</f>
        <v>14.0625</v>
      </c>
      <c r="L7" s="4"/>
    </row>
    <row r="8" spans="1:12" x14ac:dyDescent="0.2">
      <c r="A8" s="28">
        <v>17</v>
      </c>
      <c r="B8" s="35">
        <v>1410.8411214953301</v>
      </c>
      <c r="C8" s="34"/>
    </row>
    <row r="9" spans="1:12" x14ac:dyDescent="0.2">
      <c r="A9" s="28">
        <v>18</v>
      </c>
      <c r="B9" s="35">
        <v>1542.9439252336499</v>
      </c>
      <c r="C9" s="34"/>
      <c r="E9" s="2" t="s">
        <v>9</v>
      </c>
      <c r="F9" s="2"/>
      <c r="G9" s="2"/>
      <c r="H9" s="2"/>
      <c r="I9" s="2"/>
      <c r="J9" s="2"/>
      <c r="K9" s="36"/>
    </row>
    <row r="10" spans="1:12" x14ac:dyDescent="0.2">
      <c r="A10" s="28">
        <v>20</v>
      </c>
      <c r="B10" s="35">
        <v>1807.14953271028</v>
      </c>
      <c r="C10" s="34"/>
      <c r="E10" s="2" t="s">
        <v>10</v>
      </c>
      <c r="F10" s="2"/>
      <c r="G10" s="2"/>
      <c r="H10" s="2"/>
      <c r="I10" s="2"/>
      <c r="J10" s="2"/>
      <c r="K10" s="36"/>
    </row>
    <row r="11" spans="1:12" x14ac:dyDescent="0.2">
      <c r="A11" s="28">
        <v>22</v>
      </c>
      <c r="B11" s="35">
        <v>2071.3551401869199</v>
      </c>
      <c r="C11" s="34"/>
    </row>
    <row r="12" spans="1:12" x14ac:dyDescent="0.2">
      <c r="A12" s="28">
        <v>26</v>
      </c>
      <c r="B12" s="35">
        <v>2599.7663551401902</v>
      </c>
      <c r="C12" s="34"/>
      <c r="E12" s="37" t="s">
        <v>55</v>
      </c>
      <c r="F12" s="34">
        <f>J4 / L4</f>
        <v>132.10280373831776</v>
      </c>
    </row>
    <row r="13" spans="1:12" x14ac:dyDescent="0.2">
      <c r="E13" s="37" t="s">
        <v>56</v>
      </c>
      <c r="F13" s="34">
        <f>F4 - (F12*E4)</f>
        <v>-834.90654205607484</v>
      </c>
    </row>
    <row r="16" spans="1:12" x14ac:dyDescent="0.2">
      <c r="E16" s="37" t="s">
        <v>55</v>
      </c>
      <c r="F16" s="34">
        <f>SLOPE(B4:B7, A4:A7)</f>
        <v>132.10280373831776</v>
      </c>
    </row>
    <row r="17" spans="5:10" x14ac:dyDescent="0.2">
      <c r="E17" s="37" t="s">
        <v>56</v>
      </c>
      <c r="F17" s="34">
        <f>INTERCEPT(B4:B7, A4:A7)</f>
        <v>-834.90654205607484</v>
      </c>
    </row>
    <row r="20" spans="5:10" ht="21.75" customHeight="1" x14ac:dyDescent="0.2">
      <c r="E20" s="43" t="s">
        <v>74</v>
      </c>
      <c r="F20" s="43"/>
    </row>
    <row r="21" spans="5:10" ht="21.75" customHeight="1" x14ac:dyDescent="0.2">
      <c r="E21" s="44" t="s">
        <v>57</v>
      </c>
      <c r="F21" s="45" cm="1">
        <f t="array" ref="F21">SUMPRODUCT(ABS(B4:B7-C4:C7))/COUNT(B4:B7)</f>
        <v>55.724299065420553</v>
      </c>
      <c r="G21" s="47" t="s">
        <v>58</v>
      </c>
      <c r="H21" s="48"/>
      <c r="I21" s="48"/>
      <c r="J21" s="48"/>
    </row>
    <row r="22" spans="5:10" ht="21.75" customHeight="1" x14ac:dyDescent="0.2">
      <c r="E22" s="44" t="s">
        <v>59</v>
      </c>
      <c r="F22" s="45" cm="1">
        <f t="array" ref="F22">SUMPRODUCT((B4:B7-C4:C7)^2)/COUNT(B4:B7)</f>
        <v>3300.116822429904</v>
      </c>
      <c r="G22" s="47" t="s">
        <v>60</v>
      </c>
      <c r="H22" s="48"/>
      <c r="I22" s="48"/>
      <c r="J22" s="48"/>
    </row>
    <row r="23" spans="5:10" ht="21.75" customHeight="1" x14ac:dyDescent="0.2">
      <c r="E23" s="44" t="s">
        <v>61</v>
      </c>
      <c r="F23" s="45" cm="1">
        <f t="array" ref="F23">SQRT(SUMPRODUCT((B4:B7-C4:C7)^2)/COUNT(B4:B7))</f>
        <v>57.44664326511954</v>
      </c>
      <c r="G23" s="47" t="s">
        <v>62</v>
      </c>
      <c r="H23" s="48"/>
      <c r="I23" s="48"/>
      <c r="J23" s="48"/>
    </row>
    <row r="24" spans="5:10" ht="21.75" customHeight="1" x14ac:dyDescent="0.2">
      <c r="E24" s="44" t="s">
        <v>63</v>
      </c>
      <c r="F24" s="46">
        <f>1-(SUMPRODUCT((B4:B7-C4:C7)^2)/SUMPRODUCT((B4:B7-AVERAGE(B4:B7))^2))</f>
        <v>0.97250010069456738</v>
      </c>
      <c r="G24" s="47" t="s">
        <v>64</v>
      </c>
      <c r="H24" s="48"/>
      <c r="I24" s="48"/>
      <c r="J24" s="48"/>
    </row>
    <row r="25" spans="5:10" ht="21.75" customHeight="1" x14ac:dyDescent="0.2">
      <c r="E25" s="44" t="s">
        <v>65</v>
      </c>
      <c r="F25" s="46">
        <f>1-(1-(1-(SUMPRODUCT((B4:B7-C4:C7)^2)/SUMPRODUCT((B4:B7-AVERAGE(B4:B7))^2))))*(4-1)/(4-2)</f>
        <v>0.95875015104185102</v>
      </c>
      <c r="G25" s="47" t="s">
        <v>66</v>
      </c>
      <c r="H25" s="48"/>
      <c r="I25" s="48"/>
      <c r="J25" s="48"/>
    </row>
  </sheetData>
  <mergeCells count="14">
    <mergeCell ref="G21:J21"/>
    <mergeCell ref="G22:J22"/>
    <mergeCell ref="G23:J23"/>
    <mergeCell ref="G24:J24"/>
    <mergeCell ref="G25:J25"/>
    <mergeCell ref="E9:J9"/>
    <mergeCell ref="E10:J10"/>
    <mergeCell ref="E20:F20"/>
    <mergeCell ref="E1:L1"/>
    <mergeCell ref="E2:L2"/>
    <mergeCell ref="E4:E7"/>
    <mergeCell ref="F4:F7"/>
    <mergeCell ref="J4:J7"/>
    <mergeCell ref="L4:L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opLeftCell="A3" zoomScale="145" zoomScaleNormal="145" workbookViewId="0">
      <selection activeCell="E17" sqref="E17:E21"/>
    </sheetView>
  </sheetViews>
  <sheetFormatPr baseColWidth="10" defaultColWidth="9.1640625" defaultRowHeight="15" x14ac:dyDescent="0.2"/>
  <cols>
    <col min="1" max="1" width="18.5" style="9" customWidth="1"/>
    <col min="2" max="2" width="15" style="9" customWidth="1"/>
    <col min="3" max="3" width="15.33203125" style="9" customWidth="1"/>
    <col min="4" max="4" width="9.1640625" style="9"/>
    <col min="5" max="5" width="32" style="9" customWidth="1"/>
    <col min="6" max="6" width="18" style="9" customWidth="1"/>
    <col min="7" max="7" width="13.6640625" style="9" bestFit="1" customWidth="1"/>
    <col min="8" max="8" width="11" style="9" customWidth="1"/>
    <col min="9" max="9" width="11.5" style="9" customWidth="1"/>
    <col min="10" max="10" width="11.33203125" style="9" customWidth="1"/>
    <col min="11" max="11" width="12.1640625" style="9" customWidth="1"/>
    <col min="12" max="12" width="15" style="9" customWidth="1"/>
    <col min="13" max="16384" width="9.1640625" style="9"/>
  </cols>
  <sheetData>
    <row r="1" spans="1:12" ht="47.25" customHeight="1" x14ac:dyDescent="0.2">
      <c r="A1" s="25" t="s">
        <v>67</v>
      </c>
      <c r="B1" s="25" t="s">
        <v>68</v>
      </c>
      <c r="C1" s="26" t="s">
        <v>1</v>
      </c>
      <c r="E1" s="6"/>
      <c r="F1" s="6"/>
      <c r="G1" s="6"/>
      <c r="H1" s="6"/>
      <c r="I1" s="6"/>
      <c r="J1" s="6"/>
      <c r="K1" s="6"/>
      <c r="L1" s="6"/>
    </row>
    <row r="2" spans="1:12" ht="31.5" customHeight="1" x14ac:dyDescent="0.2">
      <c r="A2" s="27" t="s">
        <v>69</v>
      </c>
      <c r="B2" s="27" t="s">
        <v>70</v>
      </c>
      <c r="C2" s="27" t="s">
        <v>71</v>
      </c>
      <c r="E2" s="5" t="s">
        <v>43</v>
      </c>
      <c r="F2" s="5"/>
      <c r="G2" s="5"/>
      <c r="H2" s="5"/>
      <c r="I2" s="5"/>
      <c r="J2" s="5"/>
      <c r="K2" s="5"/>
      <c r="L2" s="5"/>
    </row>
    <row r="3" spans="1:12" ht="48" customHeight="1" x14ac:dyDescent="0.2">
      <c r="A3" s="31">
        <v>25</v>
      </c>
      <c r="B3" s="31">
        <v>50</v>
      </c>
      <c r="C3" s="31">
        <f t="shared" ref="C3:C11" si="0">$F$12*A3 + $F$13</f>
        <v>50</v>
      </c>
      <c r="E3" s="27" t="s">
        <v>47</v>
      </c>
      <c r="F3" s="27" t="s">
        <v>48</v>
      </c>
      <c r="G3" s="27" t="s">
        <v>49</v>
      </c>
      <c r="H3" s="27" t="s">
        <v>50</v>
      </c>
      <c r="I3" s="27" t="s">
        <v>51</v>
      </c>
      <c r="J3" s="27" t="s">
        <v>52</v>
      </c>
      <c r="K3" s="27" t="s">
        <v>53</v>
      </c>
      <c r="L3" s="27" t="s">
        <v>54</v>
      </c>
    </row>
    <row r="4" spans="1:12" x14ac:dyDescent="0.2">
      <c r="A4" s="31">
        <v>30</v>
      </c>
      <c r="B4" s="31">
        <v>70</v>
      </c>
      <c r="C4" s="31">
        <f t="shared" si="0"/>
        <v>70</v>
      </c>
      <c r="E4" s="4">
        <f>AVERAGE(A3:A6)</f>
        <v>32.5</v>
      </c>
      <c r="F4" s="1">
        <f>AVERAGE(B3:B6)</f>
        <v>80</v>
      </c>
      <c r="G4" s="28">
        <f>A3-$E$4</f>
        <v>-7.5</v>
      </c>
      <c r="H4" s="38">
        <f>B3-$F$4</f>
        <v>-30</v>
      </c>
      <c r="I4" s="38">
        <f>G4*H4</f>
        <v>225</v>
      </c>
      <c r="J4" s="1">
        <f>SUM(I4:I7)</f>
        <v>500</v>
      </c>
      <c r="K4" s="28">
        <f>G4*G4</f>
        <v>56.25</v>
      </c>
      <c r="L4" s="4">
        <f>SUM(K4:K7)</f>
        <v>125</v>
      </c>
    </row>
    <row r="5" spans="1:12" x14ac:dyDescent="0.2">
      <c r="A5" s="31">
        <v>35</v>
      </c>
      <c r="B5" s="31">
        <v>90</v>
      </c>
      <c r="C5" s="31">
        <f t="shared" si="0"/>
        <v>90</v>
      </c>
      <c r="E5" s="4"/>
      <c r="F5" s="4"/>
      <c r="G5" s="28">
        <f>A4-$E$4</f>
        <v>-2.5</v>
      </c>
      <c r="H5" s="38">
        <f>B4-$F$4</f>
        <v>-10</v>
      </c>
      <c r="I5" s="38">
        <f>G5*H5</f>
        <v>25</v>
      </c>
      <c r="J5" s="1"/>
      <c r="K5" s="28">
        <f>G5*G5</f>
        <v>6.25</v>
      </c>
      <c r="L5" s="4"/>
    </row>
    <row r="6" spans="1:12" x14ac:dyDescent="0.2">
      <c r="A6" s="31">
        <v>40</v>
      </c>
      <c r="B6" s="31">
        <v>110</v>
      </c>
      <c r="C6" s="31">
        <f t="shared" si="0"/>
        <v>110</v>
      </c>
      <c r="E6" s="4"/>
      <c r="F6" s="4"/>
      <c r="G6" s="28">
        <f>A5-$E$4</f>
        <v>2.5</v>
      </c>
      <c r="H6" s="38">
        <f>B5-$F$4</f>
        <v>10</v>
      </c>
      <c r="I6" s="38">
        <f>G6*H6</f>
        <v>25</v>
      </c>
      <c r="J6" s="1"/>
      <c r="K6" s="28">
        <f>G6*G6</f>
        <v>6.25</v>
      </c>
      <c r="L6" s="4"/>
    </row>
    <row r="7" spans="1:12" x14ac:dyDescent="0.2">
      <c r="A7" s="28">
        <v>42</v>
      </c>
      <c r="B7" s="39">
        <v>118</v>
      </c>
      <c r="C7" s="31">
        <f t="shared" si="0"/>
        <v>118</v>
      </c>
      <c r="E7" s="4"/>
      <c r="F7" s="4"/>
      <c r="G7" s="28">
        <f>A6-$E$4</f>
        <v>7.5</v>
      </c>
      <c r="H7" s="38">
        <f>B6-$F$4</f>
        <v>30</v>
      </c>
      <c r="I7" s="38">
        <f>G7*H7</f>
        <v>225</v>
      </c>
      <c r="J7" s="1"/>
      <c r="K7" s="28">
        <f>G7*G7</f>
        <v>56.25</v>
      </c>
      <c r="L7" s="4"/>
    </row>
    <row r="8" spans="1:12" x14ac:dyDescent="0.2">
      <c r="A8" s="28">
        <v>44</v>
      </c>
      <c r="B8" s="39">
        <v>126</v>
      </c>
      <c r="C8" s="31">
        <f t="shared" si="0"/>
        <v>126</v>
      </c>
    </row>
    <row r="9" spans="1:12" x14ac:dyDescent="0.2">
      <c r="A9" s="28">
        <v>45</v>
      </c>
      <c r="B9" s="39">
        <v>130</v>
      </c>
      <c r="C9" s="31">
        <f t="shared" si="0"/>
        <v>130</v>
      </c>
      <c r="E9" s="2" t="s">
        <v>9</v>
      </c>
      <c r="F9" s="2"/>
      <c r="G9" s="2"/>
      <c r="H9" s="2"/>
      <c r="I9" s="2"/>
      <c r="J9" s="2"/>
      <c r="K9" s="36"/>
    </row>
    <row r="10" spans="1:12" x14ac:dyDescent="0.2">
      <c r="A10" s="28">
        <v>47</v>
      </c>
      <c r="B10" s="39">
        <v>138</v>
      </c>
      <c r="C10" s="31">
        <f t="shared" si="0"/>
        <v>138</v>
      </c>
      <c r="E10" s="2" t="s">
        <v>10</v>
      </c>
      <c r="F10" s="2"/>
      <c r="G10" s="2"/>
      <c r="H10" s="2"/>
      <c r="I10" s="2"/>
      <c r="J10" s="2"/>
      <c r="K10" s="36"/>
    </row>
    <row r="11" spans="1:12" x14ac:dyDescent="0.2">
      <c r="A11" s="28">
        <v>0</v>
      </c>
      <c r="B11" s="39">
        <v>-50</v>
      </c>
      <c r="C11" s="28">
        <f t="shared" si="0"/>
        <v>-50</v>
      </c>
    </row>
    <row r="12" spans="1:12" x14ac:dyDescent="0.2">
      <c r="E12" s="37" t="s">
        <v>55</v>
      </c>
      <c r="F12" s="38">
        <f>J4/L4</f>
        <v>4</v>
      </c>
    </row>
    <row r="13" spans="1:12" x14ac:dyDescent="0.2">
      <c r="E13" s="37" t="s">
        <v>56</v>
      </c>
      <c r="F13" s="38">
        <f>F4-(F12*E4)</f>
        <v>-50</v>
      </c>
    </row>
    <row r="16" spans="1:12" ht="21.75" customHeight="1" x14ac:dyDescent="0.2">
      <c r="E16" s="49" t="s">
        <v>74</v>
      </c>
      <c r="F16" s="49"/>
    </row>
    <row r="17" spans="5:10" ht="21.75" customHeight="1" x14ac:dyDescent="0.2">
      <c r="E17" s="50" t="s">
        <v>57</v>
      </c>
      <c r="F17" s="51">
        <f>SUMPRODUCT(ABS(B3:B10-C3:C10))/COUNT(B3:B10)</f>
        <v>0</v>
      </c>
      <c r="G17" s="47" t="s">
        <v>58</v>
      </c>
      <c r="H17" s="48"/>
      <c r="I17" s="48"/>
      <c r="J17" s="48"/>
    </row>
    <row r="18" spans="5:10" ht="21.75" customHeight="1" x14ac:dyDescent="0.2">
      <c r="E18" s="50" t="s">
        <v>59</v>
      </c>
      <c r="F18" s="51">
        <f>SUMPRODUCT((B3:B10-C3:C10)^2)/COUNT(B3:B10)</f>
        <v>0</v>
      </c>
      <c r="G18" s="47" t="s">
        <v>60</v>
      </c>
      <c r="H18" s="48"/>
      <c r="I18" s="48"/>
      <c r="J18" s="48"/>
    </row>
    <row r="19" spans="5:10" ht="21.75" customHeight="1" x14ac:dyDescent="0.2">
      <c r="E19" s="50" t="s">
        <v>61</v>
      </c>
      <c r="F19" s="51">
        <f>SQRT(SUMPRODUCT((B3:B10-C3:C10)^2)/COUNT(B3:B10))</f>
        <v>0</v>
      </c>
      <c r="G19" s="47" t="s">
        <v>62</v>
      </c>
      <c r="H19" s="48"/>
      <c r="I19" s="48"/>
      <c r="J19" s="48"/>
    </row>
    <row r="20" spans="5:10" ht="21.75" customHeight="1" x14ac:dyDescent="0.2">
      <c r="E20" s="50" t="s">
        <v>63</v>
      </c>
      <c r="F20" s="52">
        <f>1-(SUMPRODUCT((B3:B10-C3:C10)^2)/SUMPRODUCT((B3:B10-AVERAGE(B3:B10))^2))</f>
        <v>1</v>
      </c>
      <c r="G20" s="47" t="s">
        <v>64</v>
      </c>
      <c r="H20" s="48"/>
      <c r="I20" s="48"/>
      <c r="J20" s="48"/>
    </row>
    <row r="21" spans="5:10" ht="21.75" customHeight="1" x14ac:dyDescent="0.2">
      <c r="E21" s="50" t="s">
        <v>65</v>
      </c>
      <c r="F21" s="52">
        <f>1-(1-(1-(SUMPRODUCT((B3:B10-C3:C10)^2)/SUMPRODUCT((B3:B10-AVERAGE(B3:B10))^2))))*(4-1)/(4-2)</f>
        <v>1</v>
      </c>
      <c r="G21" s="47" t="s">
        <v>66</v>
      </c>
      <c r="H21" s="48"/>
      <c r="I21" s="48"/>
      <c r="J21" s="48"/>
    </row>
  </sheetData>
  <mergeCells count="14">
    <mergeCell ref="G19:J19"/>
    <mergeCell ref="G20:J20"/>
    <mergeCell ref="G21:J21"/>
    <mergeCell ref="E9:J9"/>
    <mergeCell ref="E10:J10"/>
    <mergeCell ref="E16:F16"/>
    <mergeCell ref="G17:J17"/>
    <mergeCell ref="G18:J18"/>
    <mergeCell ref="E1:L1"/>
    <mergeCell ref="E2:L2"/>
    <mergeCell ref="E4:E7"/>
    <mergeCell ref="F4:F7"/>
    <mergeCell ref="J4:J7"/>
    <mergeCell ref="L4:L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zoomScale="145" zoomScaleNormal="145" workbookViewId="0">
      <selection activeCell="C18" sqref="C18"/>
    </sheetView>
  </sheetViews>
  <sheetFormatPr baseColWidth="10" defaultColWidth="9.1640625" defaultRowHeight="15" x14ac:dyDescent="0.2"/>
  <cols>
    <col min="1" max="1" width="18.5" style="9" customWidth="1"/>
    <col min="2" max="2" width="15.33203125" style="9" customWidth="1"/>
    <col min="3" max="3" width="19.5" style="9" customWidth="1"/>
    <col min="4" max="4" width="9.1640625" style="9"/>
    <col min="5" max="5" width="32" style="9" customWidth="1"/>
    <col min="6" max="6" width="18" style="9" customWidth="1"/>
    <col min="7" max="7" width="13.6640625" style="9" bestFit="1" customWidth="1"/>
    <col min="8" max="8" width="12.5" style="9" customWidth="1"/>
    <col min="9" max="9" width="17" style="9" customWidth="1"/>
    <col min="10" max="10" width="18.5" style="9" customWidth="1"/>
    <col min="11" max="11" width="12.1640625" style="9" customWidth="1"/>
    <col min="12" max="12" width="15" style="9" customWidth="1"/>
    <col min="13" max="16384" width="9.1640625" style="9"/>
  </cols>
  <sheetData>
    <row r="1" spans="1:12" ht="42" customHeight="1" x14ac:dyDescent="0.2">
      <c r="A1" s="25" t="s">
        <v>72</v>
      </c>
      <c r="B1" s="25" t="s">
        <v>40</v>
      </c>
      <c r="C1" s="26" t="s">
        <v>1</v>
      </c>
      <c r="E1" s="6"/>
      <c r="F1" s="6"/>
      <c r="G1" s="6"/>
      <c r="H1" s="6"/>
      <c r="I1" s="6"/>
      <c r="J1" s="6"/>
      <c r="K1" s="6"/>
      <c r="L1" s="6"/>
    </row>
    <row r="2" spans="1:12" ht="15.75" customHeight="1" x14ac:dyDescent="0.2">
      <c r="A2" s="27" t="s">
        <v>73</v>
      </c>
      <c r="B2" s="27" t="s">
        <v>45</v>
      </c>
      <c r="C2" s="40" t="s">
        <v>46</v>
      </c>
      <c r="E2" s="5" t="s">
        <v>43</v>
      </c>
      <c r="F2" s="5"/>
      <c r="G2" s="5"/>
      <c r="H2" s="5"/>
      <c r="I2" s="5"/>
      <c r="J2" s="5"/>
      <c r="K2" s="5"/>
      <c r="L2" s="5"/>
    </row>
    <row r="3" spans="1:12" ht="48" customHeight="1" x14ac:dyDescent="0.2">
      <c r="A3" s="31">
        <v>1000</v>
      </c>
      <c r="B3" s="32">
        <v>2000000</v>
      </c>
      <c r="C3" s="34">
        <f t="shared" ref="C3:C10" si="0">$F$12*A3 + $F$13</f>
        <v>2000000</v>
      </c>
      <c r="E3" s="27" t="s">
        <v>47</v>
      </c>
      <c r="F3" s="27" t="s">
        <v>48</v>
      </c>
      <c r="G3" s="27" t="s">
        <v>49</v>
      </c>
      <c r="H3" s="27" t="s">
        <v>50</v>
      </c>
      <c r="I3" s="27" t="s">
        <v>51</v>
      </c>
      <c r="J3" s="27" t="s">
        <v>52</v>
      </c>
      <c r="K3" s="27" t="s">
        <v>53</v>
      </c>
      <c r="L3" s="27" t="s">
        <v>54</v>
      </c>
    </row>
    <row r="4" spans="1:12" x14ac:dyDescent="0.2">
      <c r="A4" s="31">
        <v>1500</v>
      </c>
      <c r="B4" s="32">
        <v>2500000</v>
      </c>
      <c r="C4" s="34">
        <f t="shared" si="0"/>
        <v>2500000</v>
      </c>
      <c r="E4" s="4">
        <f>AVERAGE(A3:A6)</f>
        <v>1750</v>
      </c>
      <c r="F4" s="3">
        <f>AVERAGE(B3:B6)</f>
        <v>2750000</v>
      </c>
      <c r="G4" s="28">
        <f>A3-$E$4</f>
        <v>-750</v>
      </c>
      <c r="H4" s="41">
        <f>B3-$F$4</f>
        <v>-750000</v>
      </c>
      <c r="I4" s="34">
        <f>G4*H4</f>
        <v>562500000</v>
      </c>
      <c r="J4" s="3">
        <f>SUM(I4:I7)</f>
        <v>1250000000</v>
      </c>
      <c r="K4" s="28">
        <f>G4*G4</f>
        <v>562500</v>
      </c>
      <c r="L4" s="4">
        <f>SUM(K4:K7)</f>
        <v>1250000</v>
      </c>
    </row>
    <row r="5" spans="1:12" x14ac:dyDescent="0.2">
      <c r="A5" s="31">
        <v>2000</v>
      </c>
      <c r="B5" s="32">
        <v>3000000</v>
      </c>
      <c r="C5" s="34">
        <f t="shared" si="0"/>
        <v>3000000</v>
      </c>
      <c r="E5" s="4"/>
      <c r="F5" s="4"/>
      <c r="G5" s="28">
        <f>A4-$E$4</f>
        <v>-250</v>
      </c>
      <c r="H5" s="41">
        <f>B4-$F$4</f>
        <v>-250000</v>
      </c>
      <c r="I5" s="34">
        <f>G5*H5</f>
        <v>62500000</v>
      </c>
      <c r="J5" s="3"/>
      <c r="K5" s="28">
        <f>G5*G5</f>
        <v>62500</v>
      </c>
      <c r="L5" s="4"/>
    </row>
    <row r="6" spans="1:12" x14ac:dyDescent="0.2">
      <c r="A6" s="31">
        <v>2500</v>
      </c>
      <c r="B6" s="32">
        <v>3500000</v>
      </c>
      <c r="C6" s="34">
        <f t="shared" si="0"/>
        <v>3500000</v>
      </c>
      <c r="E6" s="4"/>
      <c r="F6" s="4"/>
      <c r="G6" s="28">
        <f>A5-$E$4</f>
        <v>250</v>
      </c>
      <c r="H6" s="41">
        <f>B5-$F$4</f>
        <v>250000</v>
      </c>
      <c r="I6" s="34">
        <f>G6*H6</f>
        <v>62500000</v>
      </c>
      <c r="J6" s="3"/>
      <c r="K6" s="28">
        <f>G6*G6</f>
        <v>62500</v>
      </c>
      <c r="L6" s="4"/>
    </row>
    <row r="7" spans="1:12" x14ac:dyDescent="0.2">
      <c r="A7" s="28">
        <v>2800</v>
      </c>
      <c r="B7" s="42">
        <v>3800000</v>
      </c>
      <c r="C7" s="34">
        <f t="shared" si="0"/>
        <v>3800000</v>
      </c>
      <c r="E7" s="4"/>
      <c r="F7" s="4"/>
      <c r="G7" s="28">
        <f>A6-$E$4</f>
        <v>750</v>
      </c>
      <c r="H7" s="41">
        <f>B6-$F$4</f>
        <v>750000</v>
      </c>
      <c r="I7" s="34">
        <f>G7*H7</f>
        <v>562500000</v>
      </c>
      <c r="J7" s="3"/>
      <c r="K7" s="28">
        <f>G7*G7</f>
        <v>562500</v>
      </c>
      <c r="L7" s="4"/>
    </row>
    <row r="8" spans="1:12" x14ac:dyDescent="0.2">
      <c r="A8" s="28">
        <v>3000</v>
      </c>
      <c r="B8" s="42">
        <v>4000000</v>
      </c>
      <c r="C8" s="34">
        <f t="shared" si="0"/>
        <v>4000000</v>
      </c>
    </row>
    <row r="9" spans="1:12" x14ac:dyDescent="0.2">
      <c r="A9" s="28">
        <v>3250</v>
      </c>
      <c r="B9" s="42">
        <v>4250000</v>
      </c>
      <c r="C9" s="34">
        <f t="shared" si="0"/>
        <v>4250000</v>
      </c>
      <c r="E9" s="2" t="s">
        <v>9</v>
      </c>
      <c r="F9" s="2"/>
      <c r="G9" s="2"/>
      <c r="H9" s="2"/>
      <c r="I9" s="2"/>
      <c r="J9" s="2"/>
      <c r="K9" s="36"/>
    </row>
    <row r="10" spans="1:12" x14ac:dyDescent="0.2">
      <c r="A10" s="28">
        <v>3500</v>
      </c>
      <c r="B10" s="42">
        <v>4500000</v>
      </c>
      <c r="C10" s="34">
        <f t="shared" si="0"/>
        <v>4500000</v>
      </c>
      <c r="E10" s="2" t="s">
        <v>10</v>
      </c>
      <c r="F10" s="2"/>
      <c r="G10" s="2"/>
      <c r="H10" s="2"/>
      <c r="I10" s="2"/>
      <c r="J10" s="2"/>
      <c r="K10" s="36"/>
    </row>
    <row r="12" spans="1:12" x14ac:dyDescent="0.2">
      <c r="E12" s="37" t="s">
        <v>55</v>
      </c>
      <c r="F12" s="34">
        <f>J4/L4</f>
        <v>1000</v>
      </c>
    </row>
    <row r="13" spans="1:12" x14ac:dyDescent="0.2">
      <c r="E13" s="37" t="s">
        <v>56</v>
      </c>
      <c r="F13" s="34">
        <f>F4 - (F12*E4)</f>
        <v>1000000</v>
      </c>
    </row>
    <row r="16" spans="1:12" ht="21.75" customHeight="1" x14ac:dyDescent="0.2">
      <c r="E16" s="49" t="s">
        <v>74</v>
      </c>
      <c r="F16" s="49"/>
    </row>
    <row r="17" spans="5:10" ht="21.75" customHeight="1" x14ac:dyDescent="0.2">
      <c r="E17" s="50" t="s">
        <v>57</v>
      </c>
      <c r="F17" s="51">
        <f>SUMPRODUCT(ABS(B3:B10-C3:C10))/COUNT(B3:B10)</f>
        <v>0</v>
      </c>
      <c r="G17" s="47" t="s">
        <v>58</v>
      </c>
      <c r="H17" s="48"/>
      <c r="I17" s="48"/>
      <c r="J17" s="48"/>
    </row>
    <row r="18" spans="5:10" ht="21.75" customHeight="1" x14ac:dyDescent="0.2">
      <c r="E18" s="50" t="s">
        <v>59</v>
      </c>
      <c r="F18" s="51">
        <f>SUMPRODUCT((B3:B10-C3:C10)^2)/COUNT(B3:B10)</f>
        <v>0</v>
      </c>
      <c r="G18" s="47" t="s">
        <v>60</v>
      </c>
      <c r="H18" s="48"/>
      <c r="I18" s="48"/>
      <c r="J18" s="48"/>
    </row>
    <row r="19" spans="5:10" ht="21.75" customHeight="1" x14ac:dyDescent="0.2">
      <c r="E19" s="50" t="s">
        <v>61</v>
      </c>
      <c r="F19" s="51">
        <f>SQRT(SUMPRODUCT((B3:B10-C3:C10)^2)/COUNT(B3:B10))</f>
        <v>0</v>
      </c>
      <c r="G19" s="47" t="s">
        <v>62</v>
      </c>
      <c r="H19" s="48"/>
      <c r="I19" s="48"/>
      <c r="J19" s="48"/>
    </row>
    <row r="20" spans="5:10" ht="21.75" customHeight="1" x14ac:dyDescent="0.2">
      <c r="E20" s="50" t="s">
        <v>63</v>
      </c>
      <c r="F20" s="52">
        <f>1-(SUMPRODUCT((B3:B10-C3:C10)^2)/SUMPRODUCT((B3:B10-AVERAGE(B3:B10))^2))</f>
        <v>1</v>
      </c>
      <c r="G20" s="47" t="s">
        <v>64</v>
      </c>
      <c r="H20" s="48"/>
      <c r="I20" s="48"/>
      <c r="J20" s="48"/>
    </row>
    <row r="21" spans="5:10" ht="21.75" customHeight="1" x14ac:dyDescent="0.2">
      <c r="E21" s="50" t="s">
        <v>65</v>
      </c>
      <c r="F21" s="52">
        <f>1-(1-(1-(SUMPRODUCT((B3:B10-C3:C10)^2)/SUMPRODUCT((B3:B10-AVERAGE(B3:B10))^2))))*(4-1)/(4-2)</f>
        <v>1</v>
      </c>
      <c r="G21" s="47" t="s">
        <v>66</v>
      </c>
      <c r="H21" s="48"/>
      <c r="I21" s="48"/>
      <c r="J21" s="48"/>
    </row>
  </sheetData>
  <mergeCells count="14">
    <mergeCell ref="G19:J19"/>
    <mergeCell ref="G20:J20"/>
    <mergeCell ref="G21:J21"/>
    <mergeCell ref="E9:J9"/>
    <mergeCell ref="E10:J10"/>
    <mergeCell ref="E16:F16"/>
    <mergeCell ref="G17:J17"/>
    <mergeCell ref="G18:J18"/>
    <mergeCell ref="E1:L1"/>
    <mergeCell ref="E2:L2"/>
    <mergeCell ref="E4:E7"/>
    <mergeCell ref="F4:F7"/>
    <mergeCell ref="J4:J7"/>
    <mergeCell ref="L4:L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Theory</vt:lpstr>
      <vt:lpstr>Sheet1</vt:lpstr>
      <vt:lpstr>Pizza Price Prediction</vt:lpstr>
      <vt:lpstr>Lemonade Sold Prediction</vt:lpstr>
      <vt:lpstr>House Price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Kathiriya</dc:creator>
  <dc:description/>
  <cp:lastModifiedBy>Milan Kathiriya</cp:lastModifiedBy>
  <cp:revision>0</cp:revision>
  <dcterms:created xsi:type="dcterms:W3CDTF">2025-04-01T08:45:21Z</dcterms:created>
  <dcterms:modified xsi:type="dcterms:W3CDTF">2026-04-20T10:44:31Z</dcterms:modified>
  <dc:language>en-US</dc:language>
</cp:coreProperties>
</file>